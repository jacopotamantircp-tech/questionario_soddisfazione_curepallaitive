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Puccio\Documents\JACOPO\LAVORO\SODDISFAZIONE DEL PERSONALE\excel inserito nel programma\"/>
    </mc:Choice>
  </mc:AlternateContent>
  <xr:revisionPtr revIDLastSave="0" documentId="13_ncr:1_{373F70A8-C934-474C-99D7-D52FB3065013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Raccolta Dati" sheetId="1" r:id="rId1"/>
    <sheet name="Analisi e Sinte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E5" i="2" s="1"/>
  <c r="C6" i="2"/>
  <c r="E6" i="2" s="1"/>
  <c r="C7" i="2"/>
  <c r="E7" i="2" s="1"/>
  <c r="C8" i="2"/>
  <c r="E8" i="2" s="1"/>
  <c r="C9" i="2"/>
  <c r="C10" i="2" l="1"/>
  <c r="E10" i="2" s="1"/>
  <c r="E9" i="2"/>
</calcChain>
</file>

<file path=xl/sharedStrings.xml><?xml version="1.0" encoding="utf-8"?>
<sst xmlns="http://schemas.openxmlformats.org/spreadsheetml/2006/main" count="42" uniqueCount="38">
  <si>
    <t>DASHBOARD DI MONITORAGGIO - SINTESI RISULTATI</t>
  </si>
  <si>
    <t>Unità Operativa Complessa Rete delle Cure Palliative</t>
  </si>
  <si>
    <t>Macro-Area di Valutazione</t>
  </si>
  <si>
    <t>Numero Item</t>
  </si>
  <si>
    <t>Media Totale</t>
  </si>
  <si>
    <t>Mediani / Note</t>
  </si>
  <si>
    <t>Stato / Soglia (&gt;=3.5 Ottimale)</t>
  </si>
  <si>
    <t>Area 1: Soddisfazione Lavorativa e Realizzazione Professionale</t>
  </si>
  <si>
    <t>Valutazione basata su scala 1-5</t>
  </si>
  <si>
    <t>Area 2: Clima Organizzativo e Dinamiche d'Équipe</t>
  </si>
  <si>
    <t>Area 3: Distress Personale e Carico Emotivo (Invertito)</t>
  </si>
  <si>
    <t>Area 4: Autonomia, Decision Making e Supporto Etico</t>
  </si>
  <si>
    <t>Area 5: Sviluppo Professionale e Prospettive Future</t>
  </si>
  <si>
    <t>INDICE DI BENESSERE GLOBALE (Media Complessiva)</t>
  </si>
  <si>
    <t>Soglia critica &lt; 3.0</t>
  </si>
  <si>
    <t>ID Risposta</t>
  </si>
  <si>
    <t>Profilo Professionale</t>
  </si>
  <si>
    <t>A1_Q1 (Significato Lavoro)</t>
  </si>
  <si>
    <t>A1_Q2 (Riconoscimento)</t>
  </si>
  <si>
    <t>A2_Q3 (Supporto Équipe)</t>
  </si>
  <si>
    <t>A2_Q4 (Carichi Sostenibili)</t>
  </si>
  <si>
    <t>A2_Q5 (Debriefing)</t>
  </si>
  <si>
    <t>A2_Q6 (Parità di Genere)</t>
  </si>
  <si>
    <t>A2_Q7 (Inclusione/Orientamento)</t>
  </si>
  <si>
    <t>A3_Q8 (Esaurimento Emotivo)*</t>
  </si>
  <si>
    <t>A3_Q9 (Peso Emotivo)*</t>
  </si>
  <si>
    <t>A3_Q10 (Strategie Coping)</t>
  </si>
  <si>
    <t>A4_Q11 (Supporto Etico)</t>
  </si>
  <si>
    <t>A4_Q12 (Linee Guida)</t>
  </si>
  <si>
    <t>A5_Q13 (Formazione)</t>
  </si>
  <si>
    <t>A5_Q14 (Prospettive Future)</t>
  </si>
  <si>
    <t>Media Area 1</t>
  </si>
  <si>
    <t>Media Area 2</t>
  </si>
  <si>
    <t>Media Area 3 (Invertita)</t>
  </si>
  <si>
    <t>Media Area 4</t>
  </si>
  <si>
    <t>Media Area 5</t>
  </si>
  <si>
    <t>Indice Benessere Globale</t>
  </si>
  <si>
    <t xml:space="preserve">Data e 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</si>
</sst>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i/>
      <sz val="10"/>
      <name val="Arial"/>
    </font>
    <font>
      <b/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VALUTAZIONE DEL BENESSERE LAVORATIVO 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4723457495274"/>
          <c:y val="0.21217722486359852"/>
          <c:w val="0.41587436933077665"/>
          <c:h val="0.73467948739509126"/>
        </c:manualLayout>
      </c:layout>
      <c:radarChart>
        <c:radarStyle val="marker"/>
        <c:varyColors val="0"/>
        <c:ser>
          <c:idx val="0"/>
          <c:order val="0"/>
          <c:tx>
            <c:strRef>
              <c:f>'Analisi e Sintesi'!$A$5:$A$9</c:f>
              <c:strCache>
                <c:ptCount val="5"/>
                <c:pt idx="0">
                  <c:v>Area 1: Soddisfazione Lavorativa e Realizzazione Professionale</c:v>
                </c:pt>
                <c:pt idx="1">
                  <c:v>Area 2: Clima Organizzativo e Dinamiche d'Équipe</c:v>
                </c:pt>
                <c:pt idx="2">
                  <c:v>Area 3: Distress Personale e Carico Emotivo (Invertito)</c:v>
                </c:pt>
                <c:pt idx="3">
                  <c:v>Area 4: Autonomia, Decision Making e Supporto Etico</c:v>
                </c:pt>
                <c:pt idx="4">
                  <c:v>Area 5: Sviluppo Professionale e Prospettive Future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'Analisi e Sintesi'!$A$5:$A$9</c:f>
              <c:strCache>
                <c:ptCount val="5"/>
                <c:pt idx="0">
                  <c:v>Area 1: Soddisfazione Lavorativa e Realizzazione Professionale</c:v>
                </c:pt>
                <c:pt idx="1">
                  <c:v>Area 2: Clima Organizzativo e Dinamiche d'Équipe</c:v>
                </c:pt>
                <c:pt idx="2">
                  <c:v>Area 3: Distress Personale e Carico Emotivo (Invertito)</c:v>
                </c:pt>
                <c:pt idx="3">
                  <c:v>Area 4: Autonomia, Decision Making e Supporto Etico</c:v>
                </c:pt>
                <c:pt idx="4">
                  <c:v>Area 5: Sviluppo Professionale e Prospettive Future</c:v>
                </c:pt>
              </c:strCache>
            </c:strRef>
          </c:cat>
          <c:val>
            <c:numRef>
              <c:f>'Analisi e Sintesi'!$C$5:$C$9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8-48B1-81AD-6BFADF509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93920"/>
        <c:axId val="2053941008"/>
      </c:radarChart>
      <c:catAx>
        <c:axId val="19240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3941008"/>
        <c:crosses val="autoZero"/>
        <c:auto val="1"/>
        <c:lblAlgn val="ctr"/>
        <c:lblOffset val="100"/>
        <c:noMultiLvlLbl val="0"/>
      </c:catAx>
      <c:valAx>
        <c:axId val="205394100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4093920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1476375</xdr:colOff>
      <xdr:row>11</xdr:row>
      <xdr:rowOff>142873</xdr:rowOff>
    </xdr:from>
    <xdr:to>
      <xdr:col>3</xdr:col>
      <xdr:colOff>1171575</xdr:colOff>
      <xdr:row>38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workbookViewId="0">
      <selection activeCell="A2" sqref="A2:XFD2"/>
    </sheetView>
  </sheetViews>
  <sheetFormatPr defaultRowHeight="15" x14ac:dyDescent="0.25"/>
  <cols>
    <col min="1" max="1" width="22.7109375" customWidth="1"/>
    <col min="2" max="2" width="15" customWidth="1"/>
    <col min="3" max="3" width="25" customWidth="1"/>
    <col min="4" max="4" width="30" customWidth="1"/>
    <col min="5" max="5" width="26" customWidth="1"/>
    <col min="6" max="6" width="27" customWidth="1"/>
    <col min="7" max="7" width="31" customWidth="1"/>
    <col min="8" max="8" width="22" customWidth="1"/>
    <col min="9" max="9" width="28" customWidth="1"/>
    <col min="10" max="10" width="35" customWidth="1"/>
    <col min="11" max="11" width="32" customWidth="1"/>
    <col min="12" max="12" width="25" customWidth="1"/>
    <col min="13" max="13" width="29" customWidth="1"/>
    <col min="14" max="14" width="27" customWidth="1"/>
    <col min="15" max="15" width="24" customWidth="1"/>
    <col min="16" max="16" width="23" customWidth="1"/>
    <col min="17" max="17" width="31" customWidth="1"/>
    <col min="18" max="19" width="21" customWidth="1"/>
    <col min="20" max="20" width="31" customWidth="1"/>
    <col min="21" max="22" width="21" customWidth="1"/>
    <col min="23" max="23" width="28" customWidth="1"/>
  </cols>
  <sheetData>
    <row r="1" spans="1:23" ht="30" customHeight="1" x14ac:dyDescent="0.25">
      <c r="A1" s="1" t="s">
        <v>37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 x14ac:dyDescent="0.25">
      <c r="B2" s="2"/>
      <c r="C2" s="9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</row>
    <row r="3" spans="1:23" x14ac:dyDescent="0.25"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</row>
    <row r="4" spans="1:23" x14ac:dyDescent="0.25"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</row>
    <row r="5" spans="1:23" x14ac:dyDescent="0.25"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</row>
    <row r="6" spans="1:23" x14ac:dyDescent="0.25"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4"/>
      <c r="T6" s="4"/>
      <c r="U6" s="4"/>
      <c r="V6" s="4"/>
      <c r="W6" s="4"/>
    </row>
    <row r="7" spans="1:23" x14ac:dyDescent="0.25"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</row>
    <row r="8" spans="1:23" x14ac:dyDescent="0.25"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  <c r="S8" s="4"/>
      <c r="T8" s="4"/>
      <c r="U8" s="4"/>
      <c r="V8" s="4"/>
      <c r="W8" s="4"/>
    </row>
    <row r="9" spans="1:23" x14ac:dyDescent="0.25"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4"/>
      <c r="T9" s="4"/>
      <c r="U9" s="4"/>
      <c r="V9" s="4"/>
      <c r="W9" s="4"/>
    </row>
    <row r="10" spans="1:23" x14ac:dyDescent="0.25"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4"/>
      <c r="W10" s="4"/>
    </row>
    <row r="11" spans="1:23" x14ac:dyDescent="0.25"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  <c r="T11" s="4"/>
      <c r="U11" s="4"/>
      <c r="V11" s="4"/>
      <c r="W11" s="4"/>
    </row>
    <row r="12" spans="1:23" x14ac:dyDescent="0.25">
      <c r="R12" s="4"/>
      <c r="S12" s="4"/>
      <c r="T12" s="4"/>
      <c r="U12" s="4"/>
      <c r="V12" s="4"/>
      <c r="W12" s="4"/>
    </row>
    <row r="13" spans="1:23" x14ac:dyDescent="0.25">
      <c r="R13" s="4"/>
      <c r="S13" s="4"/>
      <c r="T13" s="4"/>
      <c r="U13" s="4"/>
      <c r="V13" s="4"/>
      <c r="W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topLeftCell="A3" workbookViewId="0">
      <selection activeCell="A14" sqref="A14"/>
    </sheetView>
  </sheetViews>
  <sheetFormatPr defaultRowHeight="15" x14ac:dyDescent="0.25"/>
  <cols>
    <col min="1" max="1" width="66" customWidth="1"/>
    <col min="2" max="2" width="20" customWidth="1"/>
    <col min="3" max="3" width="36" customWidth="1"/>
    <col min="4" max="4" width="35" customWidth="1"/>
    <col min="5" max="5" width="91" customWidth="1"/>
  </cols>
  <sheetData>
    <row r="1" spans="1:5" ht="18" customHeight="1" x14ac:dyDescent="0.25">
      <c r="A1" s="13" t="s">
        <v>0</v>
      </c>
      <c r="B1" s="12"/>
      <c r="C1" s="12"/>
      <c r="D1" s="12"/>
      <c r="E1" s="12"/>
    </row>
    <row r="2" spans="1:5" x14ac:dyDescent="0.25">
      <c r="A2" s="11" t="s">
        <v>1</v>
      </c>
      <c r="B2" s="12"/>
      <c r="C2" s="12"/>
      <c r="D2" s="12"/>
      <c r="E2" s="12"/>
    </row>
    <row r="4" spans="1:5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3">
        <v>2</v>
      </c>
      <c r="C5" s="5" t="e">
        <f>AVERAGE('Raccolta Dati'!R:R)</f>
        <v>#DIV/0!</v>
      </c>
      <c r="D5" s="3" t="s">
        <v>8</v>
      </c>
      <c r="E5" s="3" t="e">
        <f>IF(C5&gt;=3.5, "Ottimale", IF(C5&gt;=3, "Stabile / Accettabile", "Area Critica"))</f>
        <v>#DIV/0!</v>
      </c>
    </row>
    <row r="6" spans="1:5" x14ac:dyDescent="0.25">
      <c r="A6" s="2" t="s">
        <v>9</v>
      </c>
      <c r="B6" s="3">
        <v>5</v>
      </c>
      <c r="C6" s="5" t="e">
        <f>AVERAGE('Raccolta Dati'!S:S)</f>
        <v>#DIV/0!</v>
      </c>
      <c r="D6" s="3" t="s">
        <v>8</v>
      </c>
      <c r="E6" s="3" t="e">
        <f>IF(C6&gt;=3.5, "Ottimale", IF(C6&gt;=3, "Stabile / Accettabile", "Area Critica"))</f>
        <v>#DIV/0!</v>
      </c>
    </row>
    <row r="7" spans="1:5" x14ac:dyDescent="0.25">
      <c r="A7" s="2" t="s">
        <v>10</v>
      </c>
      <c r="B7" s="3">
        <v>3</v>
      </c>
      <c r="C7" s="5" t="e">
        <f>AVERAGE('Raccolta Dati'!T:T)</f>
        <v>#DIV/0!</v>
      </c>
      <c r="D7" s="3" t="s">
        <v>8</v>
      </c>
      <c r="E7" s="3" t="e">
        <f>IF(C7&gt;=3.5, "Ottimale", IF(C7&gt;=3, "Stabile / Accettabile", "Area Critica"))</f>
        <v>#DIV/0!</v>
      </c>
    </row>
    <row r="8" spans="1:5" x14ac:dyDescent="0.25">
      <c r="A8" s="2" t="s">
        <v>11</v>
      </c>
      <c r="B8" s="3">
        <v>2</v>
      </c>
      <c r="C8" s="5" t="e">
        <f>AVERAGE('Raccolta Dati'!U:U)</f>
        <v>#DIV/0!</v>
      </c>
      <c r="D8" s="3" t="s">
        <v>8</v>
      </c>
      <c r="E8" s="3" t="e">
        <f>IF(C8&gt;=3.5, "Ottimale", IF(C8&gt;=3, "Stabile / Accettabile", "Area Critica"))</f>
        <v>#DIV/0!</v>
      </c>
    </row>
    <row r="9" spans="1:5" x14ac:dyDescent="0.25">
      <c r="A9" s="2" t="s">
        <v>12</v>
      </c>
      <c r="B9" s="3">
        <v>2</v>
      </c>
      <c r="C9" s="5" t="e">
        <f>AVERAGE('Raccolta Dati'!V:V)</f>
        <v>#DIV/0!</v>
      </c>
      <c r="D9" s="3" t="s">
        <v>8</v>
      </c>
      <c r="E9" s="3" t="e">
        <f>IF(C9&gt;=3.5, "Ottimale", IF(C9&gt;=3, "Stabile / Accettabile", "Area Critica"))</f>
        <v>#DIV/0!</v>
      </c>
    </row>
    <row r="10" spans="1:5" x14ac:dyDescent="0.25">
      <c r="A10" s="6" t="s">
        <v>13</v>
      </c>
      <c r="B10" s="7">
        <v>14</v>
      </c>
      <c r="C10" s="8" t="e">
        <f>AVERAGE(C5:C9)</f>
        <v>#DIV/0!</v>
      </c>
      <c r="D10" s="7" t="s">
        <v>14</v>
      </c>
      <c r="E10" s="7" t="e">
        <f>IF(C10&gt;=3.5, "Eccellente", IF(C10&gt;=3, "Buono / Monitorare", "Intervento Prioritario"))</f>
        <v>#DIV/0!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Raccolta Dati</vt:lpstr>
      <vt:lpstr>Analisi e Sintesi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Tamanti</cp:lastModifiedBy>
  <dcterms:created xsi:type="dcterms:W3CDTF">2026-09-28T19:48:45Z</dcterms:created>
  <dcterms:modified xsi:type="dcterms:W3CDTF">2026-10-12T20:58:20Z</dcterms:modified>
</cp:coreProperties>
</file>