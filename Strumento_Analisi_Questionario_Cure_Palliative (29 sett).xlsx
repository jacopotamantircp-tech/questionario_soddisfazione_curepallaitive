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Puccio\Documents\JACOPO\LAVORO\SODDISFAZIONE DEL PERSONALE\"/>
    </mc:Choice>
  </mc:AlternateContent>
  <xr:revisionPtr revIDLastSave="0" documentId="13_ncr:1_{C28C0A5E-0761-4570-9FA4-9BB25F36C5C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accolta Dati" sheetId="1" r:id="rId1"/>
    <sheet name="Analisi e Sintes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2" l="1"/>
  <c r="E9" i="2" s="1"/>
  <c r="C8" i="2"/>
  <c r="E8" i="2" s="1"/>
  <c r="C7" i="2"/>
  <c r="E7" i="2" s="1"/>
  <c r="C6" i="2"/>
  <c r="E6" i="2" s="1"/>
  <c r="C5" i="2"/>
  <c r="C10" i="2" l="1"/>
  <c r="E10" i="2" s="1"/>
  <c r="E5" i="2"/>
</calcChain>
</file>

<file path=xl/sharedStrings.xml><?xml version="1.0" encoding="utf-8"?>
<sst xmlns="http://schemas.openxmlformats.org/spreadsheetml/2006/main" count="41" uniqueCount="37">
  <si>
    <t>ID Risposta</t>
  </si>
  <si>
    <t>Profilo Professionale</t>
  </si>
  <si>
    <t>A1_Q1 (Significato Lavoro)</t>
  </si>
  <si>
    <t>A1_Q2 (Riconoscimento)</t>
  </si>
  <si>
    <t>A2_Q3 (Supporto Équipe)</t>
  </si>
  <si>
    <t>A2_Q4 (Carichi Sostenibili)</t>
  </si>
  <si>
    <t>A2_Q5 (Debriefing)</t>
  </si>
  <si>
    <t>A2_Q6 (Parità di Genere)</t>
  </si>
  <si>
    <t>A2_Q7 (Inclusione/Orientamento)</t>
  </si>
  <si>
    <t>A3_Q8 (Esaurimento Emotivo)*</t>
  </si>
  <si>
    <t>A3_Q9 (Peso Emotivo)*</t>
  </si>
  <si>
    <t>A3_Q10 (Strategie Coping)</t>
  </si>
  <si>
    <t>A4_Q11 (Supporto Etico)</t>
  </si>
  <si>
    <t>A4_Q12 (Linee Guida)</t>
  </si>
  <si>
    <t>A5_Q13 (Formazione)</t>
  </si>
  <si>
    <t>A5_Q14 (Prospettive Future)</t>
  </si>
  <si>
    <t>Media Area 1</t>
  </si>
  <si>
    <t>Media Area 2</t>
  </si>
  <si>
    <t>Media Area 3 (Invertita)</t>
  </si>
  <si>
    <t>Media Area 4</t>
  </si>
  <si>
    <t>Media Area 5</t>
  </si>
  <si>
    <t>Indice Benessere Globale</t>
  </si>
  <si>
    <t>DASHBOARD DI MONITORAGGIO - SINTESI RISULTATI</t>
  </si>
  <si>
    <t>Unità Operativa Complessa Rete delle Cure Palliative</t>
  </si>
  <si>
    <t>Macro-Area di Valutazione</t>
  </si>
  <si>
    <t>Numero Item</t>
  </si>
  <si>
    <t>Media Totale</t>
  </si>
  <si>
    <t>Mediani / Note</t>
  </si>
  <si>
    <t>Stato / Soglia (&gt;=3.5 Ottimale)</t>
  </si>
  <si>
    <t>Area 1: Soddisfazione Lavorativa e Realizzazione Professionale</t>
  </si>
  <si>
    <t>Valutazione basata su scala 1-5</t>
  </si>
  <si>
    <t>Area 2: Clima Organizzativo e Dinamiche d'Équipe</t>
  </si>
  <si>
    <t>Area 3: Distress Personale e Carico Emotivo (Invertito)</t>
  </si>
  <si>
    <t>Area 4: Autonomia, Decision Making e Supporto Etico</t>
  </si>
  <si>
    <t>Area 5: Sviluppo Professionale e Prospettive Future</t>
  </si>
  <si>
    <t>INDICE DI BENESSERE GLOBALE (Media Complessiva)</t>
  </si>
  <si>
    <t>Soglia critica &lt; 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</si>
</sst>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8"/>
      <name val="Arial"/>
    </font>
    <font>
      <i/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2" fontId="5" fillId="4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/>
    <xf numFmtId="0" fontId="3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'Analisi e Sintesi'!$A$5:$A$9</c:f>
              <c:strCache>
                <c:ptCount val="5"/>
                <c:pt idx="0">
                  <c:v>Area 1: Soddisfazione Lavorativa e Realizzazione Professionale</c:v>
                </c:pt>
                <c:pt idx="1">
                  <c:v>Area 2: Clima Organizzativo e Dinamiche d'Équipe</c:v>
                </c:pt>
                <c:pt idx="2">
                  <c:v>Area 3: Distress Personale e Carico Emotivo (Invertito)</c:v>
                </c:pt>
                <c:pt idx="3">
                  <c:v>Area 4: Autonomia, Decision Making e Supporto Etico</c:v>
                </c:pt>
                <c:pt idx="4">
                  <c:v>Area 5: Sviluppo Professionale e Prospettive Future</c:v>
                </c:pt>
              </c:strCache>
            </c:strRef>
          </c:cat>
          <c:val>
            <c:numRef>
              <c:f>'Analisi e Sintesi'!$C$5:$C$9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F5-431F-9D89-714265955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4093920"/>
        <c:axId val="2053941008"/>
      </c:radarChart>
      <c:catAx>
        <c:axId val="19240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solidFill>
              <a:schemeClr val="accent1"/>
            </a:solidFill>
            <a:prstDash val="solid"/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53941008"/>
        <c:crosses val="autoZero"/>
        <c:auto val="1"/>
        <c:lblAlgn val="ctr"/>
        <c:lblOffset val="100"/>
        <c:noMultiLvlLbl val="0"/>
      </c:catAx>
      <c:valAx>
        <c:axId val="2053941008"/>
        <c:scaling>
          <c:orientation val="minMax"/>
          <c:max val="5"/>
          <c:min val="3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4093920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2162175</xdr:colOff>
      <xdr:row>19</xdr:row>
      <xdr:rowOff>57150</xdr:rowOff>
    </xdr:from>
    <xdr:to>
      <xdr:col>4</xdr:col>
      <xdr:colOff>4400550</xdr:colOff>
      <xdr:row>33</xdr:row>
      <xdr:rowOff>133350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9A2C9B2-58E5-A682-C40F-93093829A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>
      <selection activeCell="F6" sqref="F6"/>
    </sheetView>
  </sheetViews>
  <sheetFormatPr defaultRowHeight="15" x14ac:dyDescent="0.25"/>
  <cols>
    <col min="1" max="1" width="15" customWidth="1"/>
    <col min="2" max="2" width="25" customWidth="1"/>
    <col min="3" max="3" width="30" customWidth="1"/>
    <col min="4" max="4" width="26" customWidth="1"/>
    <col min="5" max="5" width="27" customWidth="1"/>
    <col min="6" max="6" width="31" customWidth="1"/>
    <col min="7" max="7" width="22" customWidth="1"/>
    <col min="8" max="8" width="28" customWidth="1"/>
    <col min="9" max="9" width="35" customWidth="1"/>
    <col min="10" max="10" width="32" customWidth="1"/>
    <col min="11" max="11" width="25" customWidth="1"/>
    <col min="12" max="12" width="29" customWidth="1"/>
    <col min="13" max="13" width="27" customWidth="1"/>
    <col min="14" max="14" width="24" customWidth="1"/>
    <col min="15" max="15" width="23" customWidth="1"/>
    <col min="16" max="16" width="31" customWidth="1"/>
    <col min="17" max="18" width="21" customWidth="1"/>
    <col min="19" max="19" width="31" customWidth="1"/>
    <col min="20" max="21" width="21" customWidth="1"/>
    <col min="22" max="22" width="28" customWidth="1"/>
  </cols>
  <sheetData>
    <row r="1" spans="1:22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  <c r="U2" s="4"/>
      <c r="V2" s="4"/>
    </row>
    <row r="3" spans="1:22" x14ac:dyDescent="0.25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  <c r="R3" s="4"/>
      <c r="S3" s="4"/>
      <c r="T3" s="4"/>
      <c r="U3" s="4"/>
      <c r="V3" s="4"/>
    </row>
    <row r="4" spans="1:22" x14ac:dyDescent="0.25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4"/>
      <c r="R4" s="4"/>
      <c r="S4" s="4"/>
      <c r="T4" s="4"/>
      <c r="U4" s="4"/>
      <c r="V4" s="4"/>
    </row>
    <row r="5" spans="1:22" x14ac:dyDescent="0.25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4"/>
      <c r="R5" s="4"/>
      <c r="S5" s="4"/>
      <c r="T5" s="4"/>
      <c r="U5" s="4"/>
      <c r="V5" s="4"/>
    </row>
    <row r="6" spans="1:22" x14ac:dyDescent="0.25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4"/>
      <c r="R6" s="4"/>
      <c r="S6" s="4"/>
      <c r="T6" s="4"/>
      <c r="U6" s="4"/>
      <c r="V6" s="4"/>
    </row>
    <row r="7" spans="1:22" x14ac:dyDescent="0.25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4"/>
      <c r="S7" s="4"/>
      <c r="T7" s="4"/>
      <c r="U7" s="4"/>
      <c r="V7" s="4"/>
    </row>
    <row r="8" spans="1:22" x14ac:dyDescent="0.25">
      <c r="A8" s="2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4"/>
      <c r="R8" s="4"/>
      <c r="S8" s="4"/>
      <c r="T8" s="4"/>
      <c r="U8" s="4"/>
      <c r="V8" s="4"/>
    </row>
    <row r="9" spans="1:22" x14ac:dyDescent="0.25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4"/>
      <c r="R9" s="4"/>
      <c r="S9" s="4"/>
      <c r="T9" s="4"/>
      <c r="U9" s="4"/>
      <c r="V9" s="4"/>
    </row>
    <row r="10" spans="1:22" x14ac:dyDescent="0.25">
      <c r="A10" s="2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4"/>
      <c r="R10" s="4"/>
      <c r="S10" s="4"/>
      <c r="T10" s="4"/>
      <c r="U10" s="4"/>
      <c r="V10" s="4"/>
    </row>
    <row r="11" spans="1:22" x14ac:dyDescent="0.25">
      <c r="A11" s="2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4"/>
      <c r="R11" s="4"/>
      <c r="S11" s="4"/>
      <c r="T11" s="4"/>
      <c r="U11" s="4"/>
      <c r="V11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opLeftCell="A9" workbookViewId="0">
      <selection activeCell="A24" sqref="A24"/>
    </sheetView>
  </sheetViews>
  <sheetFormatPr defaultRowHeight="15" x14ac:dyDescent="0.25"/>
  <cols>
    <col min="1" max="1" width="66" customWidth="1"/>
    <col min="2" max="2" width="20" customWidth="1"/>
    <col min="3" max="3" width="36" customWidth="1"/>
    <col min="4" max="4" width="35" customWidth="1"/>
    <col min="5" max="5" width="91" customWidth="1"/>
  </cols>
  <sheetData>
    <row r="1" spans="1:5" ht="18" x14ac:dyDescent="0.25">
      <c r="A1" s="11" t="s">
        <v>22</v>
      </c>
      <c r="B1" s="10"/>
      <c r="C1" s="10"/>
      <c r="D1" s="10"/>
      <c r="E1" s="10"/>
    </row>
    <row r="2" spans="1:5" x14ac:dyDescent="0.25">
      <c r="A2" s="9" t="s">
        <v>23</v>
      </c>
      <c r="B2" s="10"/>
      <c r="C2" s="10"/>
      <c r="D2" s="10"/>
      <c r="E2" s="10"/>
    </row>
    <row r="4" spans="1:5" ht="24.95" customHeight="1" x14ac:dyDescent="0.25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</row>
    <row r="5" spans="1:5" x14ac:dyDescent="0.25">
      <c r="A5" s="2" t="s">
        <v>29</v>
      </c>
      <c r="B5" s="3">
        <v>2</v>
      </c>
      <c r="C5" s="5" t="e">
        <f>AVERAGE('Raccolta Dati'!Q2:Q11)</f>
        <v>#DIV/0!</v>
      </c>
      <c r="D5" s="3" t="s">
        <v>30</v>
      </c>
      <c r="E5" s="3" t="e">
        <f>IF(C5&gt;=3.5, "Ottimale", IF(C5&gt;=3, "Stabile / Accettabile", "Area Critica"))</f>
        <v>#DIV/0!</v>
      </c>
    </row>
    <row r="6" spans="1:5" x14ac:dyDescent="0.25">
      <c r="A6" s="2" t="s">
        <v>31</v>
      </c>
      <c r="B6" s="3">
        <v>5</v>
      </c>
      <c r="C6" s="5" t="e">
        <f>AVERAGE('Raccolta Dati'!R2:R11)</f>
        <v>#DIV/0!</v>
      </c>
      <c r="D6" s="3" t="s">
        <v>30</v>
      </c>
      <c r="E6" s="3" t="e">
        <f>IF(C6&gt;=3.5, "Ottimale", IF(C6&gt;=3, "Stabile / Accettabile", "Area Critica"))</f>
        <v>#DIV/0!</v>
      </c>
    </row>
    <row r="7" spans="1:5" x14ac:dyDescent="0.25">
      <c r="A7" s="2" t="s">
        <v>32</v>
      </c>
      <c r="B7" s="3">
        <v>3</v>
      </c>
      <c r="C7" s="5" t="e">
        <f>AVERAGE('Raccolta Dati'!S2:S11)</f>
        <v>#DIV/0!</v>
      </c>
      <c r="D7" s="3" t="s">
        <v>30</v>
      </c>
      <c r="E7" s="3" t="e">
        <f>IF(C7&gt;=3.5, "Ottimale", IF(C7&gt;=3, "Stabile / Accettabile", "Area Critica"))</f>
        <v>#DIV/0!</v>
      </c>
    </row>
    <row r="8" spans="1:5" x14ac:dyDescent="0.25">
      <c r="A8" s="2" t="s">
        <v>33</v>
      </c>
      <c r="B8" s="3">
        <v>2</v>
      </c>
      <c r="C8" s="5" t="e">
        <f>AVERAGE('Raccolta Dati'!T2:T11)</f>
        <v>#DIV/0!</v>
      </c>
      <c r="D8" s="3" t="s">
        <v>30</v>
      </c>
      <c r="E8" s="3" t="e">
        <f>IF(C8&gt;=3.5, "Ottimale", IF(C8&gt;=3, "Stabile / Accettabile", "Area Critica"))</f>
        <v>#DIV/0!</v>
      </c>
    </row>
    <row r="9" spans="1:5" x14ac:dyDescent="0.25">
      <c r="A9" s="2" t="s">
        <v>34</v>
      </c>
      <c r="B9" s="3">
        <v>2</v>
      </c>
      <c r="C9" s="5" t="e">
        <f>AVERAGE('Raccolta Dati'!U2:U11)</f>
        <v>#DIV/0!</v>
      </c>
      <c r="D9" s="3" t="s">
        <v>30</v>
      </c>
      <c r="E9" s="3" t="e">
        <f>IF(C9&gt;=3.5, "Ottimale", IF(C9&gt;=3, "Stabile / Accettabile", "Area Critica"))</f>
        <v>#DIV/0!</v>
      </c>
    </row>
    <row r="10" spans="1:5" x14ac:dyDescent="0.25">
      <c r="A10" s="6" t="s">
        <v>35</v>
      </c>
      <c r="B10" s="7">
        <v>14</v>
      </c>
      <c r="C10" s="8" t="e">
        <f>AVERAGE(C5:C9)</f>
        <v>#DIV/0!</v>
      </c>
      <c r="D10" s="7" t="s">
        <v>36</v>
      </c>
      <c r="E10" s="7" t="e">
        <f>IF(C10&gt;=3.5, "Eccellente", IF(C10&gt;=3, "Buono / Monitorare", "Intervento Prioritario"))</f>
        <v>#DIV/0!</v>
      </c>
    </row>
  </sheetData>
  <mergeCells count="2">
    <mergeCell ref="A2:E2"/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Raccolta Dati</vt:lpstr>
      <vt:lpstr>Analisi e Sintesi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Jacopo Tamanti</cp:lastModifiedBy>
  <dcterms:created xsi:type="dcterms:W3CDTF">2026-09-28T19:48:45Z</dcterms:created>
  <dcterms:modified xsi:type="dcterms:W3CDTF">2026-10-12T19:07:29Z</dcterms:modified>
</cp:coreProperties>
</file>